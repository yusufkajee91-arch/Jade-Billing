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ters" sheetId="1" r:id="rId1"/>
    <sheet name="Trust Banks" sheetId="2" r:id="rId2"/>
    <sheet name="Investment Banks" sheetId="3" r:id="rId3"/>
  </sheets>
  <definedNames>
    <definedName name="_xlnm.Print_Titles" localSheetId="2">'Investment Banks'!$1:$1</definedName>
    <definedName name="_xlnm.Print_Titles" localSheetId="0">Matters!$1:$1</definedName>
    <definedName name="_xlnm.Print_Titles" localSheetId="1">'Trust Banks'!$1:$1</definedName>
  </definedNames>
  <calcPr calcId="124519" fullCalcOnLoad="1"/>
</workbook>
</file>

<file path=xl/sharedStrings.xml><?xml version="1.0" encoding="utf-8"?>
<sst xmlns="http://schemas.openxmlformats.org/spreadsheetml/2006/main" count="157" uniqueCount="119">
  <si>
    <t>Client</t>
  </si>
  <si>
    <t>Matter</t>
  </si>
  <si>
    <t>Matter Code</t>
  </si>
  <si>
    <t>Owner</t>
  </si>
  <si>
    <t>Trust Balance as at 2026-04-19</t>
  </si>
  <si>
    <t>Investment Balance as at 2026-04-19</t>
  </si>
  <si>
    <t>David Gabay</t>
  </si>
  <si>
    <t>Matters concerning his minor child</t>
  </si>
  <si>
    <t>JJ/DVG-001</t>
  </si>
  <si>
    <t>Jessica-Jayde Dolata</t>
  </si>
  <si>
    <t>Caitlin Behnken</t>
  </si>
  <si>
    <t>Caitlin Behnken - Legal Advice</t>
  </si>
  <si>
    <t>JJ / CTL-001</t>
  </si>
  <si>
    <t>Angelica White</t>
  </si>
  <si>
    <t>Angelica White - Birth Records</t>
  </si>
  <si>
    <t>JJ/LRN-001</t>
  </si>
  <si>
    <t>Jessica Barraclough</t>
  </si>
  <si>
    <t xml:space="preserve">Shareholders Dispute </t>
  </si>
  <si>
    <t>JSB-001</t>
  </si>
  <si>
    <t>Tumi Serepo</t>
  </si>
  <si>
    <t>South Africa: Trade Mark Application No. 2024/04387 ETHNIC TOYS (WORD) in class 28 in the name of Tumi Serepo</t>
  </si>
  <si>
    <t>JJ/TMS-001</t>
  </si>
  <si>
    <t>Dan Dumisani Macia</t>
  </si>
  <si>
    <t>SA Polygamy - Copyright Assignment Agreement</t>
  </si>
  <si>
    <t>JJ/DDM-001</t>
  </si>
  <si>
    <t>Michelle Renouf</t>
  </si>
  <si>
    <t>State // Renouf [Case No: 256/09/24] &amp; Expungement</t>
  </si>
  <si>
    <t>JJ/MCR-001</t>
  </si>
  <si>
    <t>Big Uppetite</t>
  </si>
  <si>
    <t>Big Uppetite // Mark Carroll - Commercial Agreements</t>
  </si>
  <si>
    <t>JJ/BUPP-003</t>
  </si>
  <si>
    <t>John Ellwood</t>
  </si>
  <si>
    <t>John A. Elwood // Cheryl A. Savage [Case No: 4718/81]</t>
  </si>
  <si>
    <t>JNE-001</t>
  </si>
  <si>
    <t>Triston Zylstra</t>
  </si>
  <si>
    <t>Glass // Zylstra - Maintenance</t>
  </si>
  <si>
    <t>JJ/TRS-002</t>
  </si>
  <si>
    <t>Fiona Ally</t>
  </si>
  <si>
    <t>General Legal Matters</t>
  </si>
  <si>
    <t>FIA-002</t>
  </si>
  <si>
    <t>Aqua Plastech (Pty) Ltd</t>
  </si>
  <si>
    <t>Aqua Plastech (Pty) Ltd // Kannar (DAMPRO v DAMFIX)</t>
  </si>
  <si>
    <t>JJ/APS-004</t>
  </si>
  <si>
    <t>McCarthy Legal</t>
  </si>
  <si>
    <t>SOUTH AFRICA: Trade Mark Search &amp; Applications for THE PUZZLE BOX &amp; THE PUZZLE PROJECT in class 28</t>
  </si>
  <si>
    <t>JJ/MCL-002</t>
  </si>
  <si>
    <t>Lucas Glass Wholesalers (Pty) Ltd</t>
  </si>
  <si>
    <t>Sithole - Trust Establishment</t>
  </si>
  <si>
    <t>JJ/LCS-005</t>
  </si>
  <si>
    <t>Healthguard SA // Momentum - IP Ownership</t>
  </si>
  <si>
    <t>JJ/FIA-003</t>
  </si>
  <si>
    <t>ASSAM KUDZAI GWIZO // LUCAS GLASS WHOLESALERS PTY LTD - Review Application</t>
  </si>
  <si>
    <t>JJ/LCS-004</t>
  </si>
  <si>
    <t>Bianca Humphreys</t>
  </si>
  <si>
    <t>Business Startup Advice</t>
  </si>
  <si>
    <t>BNC-001</t>
  </si>
  <si>
    <t>George Golding</t>
  </si>
  <si>
    <t>Golding // Golding Divorce</t>
  </si>
  <si>
    <t>JJ/GRL-001</t>
  </si>
  <si>
    <t>Laken-Ash</t>
  </si>
  <si>
    <t>Kelly Gordon</t>
  </si>
  <si>
    <t>Gordon // Gordon - Divorce</t>
  </si>
  <si>
    <t>JJ/KLL-001</t>
  </si>
  <si>
    <t>Lawyered Up (Pty) Ltd</t>
  </si>
  <si>
    <t>Idea Publisher (Pty) Ltd</t>
  </si>
  <si>
    <t>JJ/LYU-002</t>
  </si>
  <si>
    <t>Mathias Okojie</t>
  </si>
  <si>
    <t>Okoje // Mfana</t>
  </si>
  <si>
    <t>JJ/MTH-001</t>
  </si>
  <si>
    <t>Saskia Wolfaardt</t>
  </si>
  <si>
    <t>Neureco IP</t>
  </si>
  <si>
    <t>JJ/SSK-001</t>
  </si>
  <si>
    <t>Josephine Broome</t>
  </si>
  <si>
    <t>Broome // Etchells</t>
  </si>
  <si>
    <t>JJ/JSB-001</t>
  </si>
  <si>
    <t>Francois Daniel Retief</t>
  </si>
  <si>
    <t>Bail Application</t>
  </si>
  <si>
    <t>LH/FRN-001</t>
  </si>
  <si>
    <t>Ehigie Ikeakhe</t>
  </si>
  <si>
    <t>Ikeakhe in re VISA Appeal &amp; Ability To Leave SA</t>
  </si>
  <si>
    <t>JJ/EHG-001</t>
  </si>
  <si>
    <t>Nathan Heller</t>
  </si>
  <si>
    <t>Commercial Dispute</t>
  </si>
  <si>
    <t>JJ/NTH-001</t>
  </si>
  <si>
    <t>Gerrit Steenkamp</t>
  </si>
  <si>
    <t>Antenuptial Contract</t>
  </si>
  <si>
    <t>JJ/GRS-001</t>
  </si>
  <si>
    <t>Chad Follentine</t>
  </si>
  <si>
    <t>Custody</t>
  </si>
  <si>
    <t>JJ/CHD-001</t>
  </si>
  <si>
    <t>Chad Chaz</t>
  </si>
  <si>
    <t>YouTube Copyright Strikes</t>
  </si>
  <si>
    <t>JJ/CCH-001</t>
  </si>
  <si>
    <t>Stefan Hrabar</t>
  </si>
  <si>
    <t>Legal Advice</t>
  </si>
  <si>
    <t>LH/STF-001</t>
  </si>
  <si>
    <t>Palesa Muleya</t>
  </si>
  <si>
    <t>Divorce</t>
  </si>
  <si>
    <t>JJ/PLS-001</t>
  </si>
  <si>
    <t>Louw Moonsamy Wynne</t>
  </si>
  <si>
    <t>PRI/0291 - TRANSFER - KONZA TO KONZA - SECTION 36 THE EDGE</t>
  </si>
  <si>
    <t>JJ/LWM-001</t>
  </si>
  <si>
    <t>Trust Transfer</t>
  </si>
  <si>
    <t>Trust Transfer Clearing Account</t>
  </si>
  <si>
    <t>CLEARING</t>
  </si>
  <si>
    <t>Legal Practice Council [LPC]</t>
  </si>
  <si>
    <t>LPC for trust interest and bank charges</t>
  </si>
  <si>
    <t>LGL-001</t>
  </si>
  <si>
    <t>LPC Interest and Bank Charges</t>
  </si>
  <si>
    <t>Interest and Bank charges</t>
  </si>
  <si>
    <t>MC/LPC-001</t>
  </si>
  <si>
    <t>Richardson Property Group (Pty) Ltd</t>
  </si>
  <si>
    <t>General consulting</t>
  </si>
  <si>
    <t>MC/TRN629/1-001</t>
  </si>
  <si>
    <t xml:space="preserve">Zylstra // Glass - Care of and Contact with Minor Child </t>
  </si>
  <si>
    <t>JJ/TRS-001</t>
  </si>
  <si>
    <t>Trust Bank Account</t>
  </si>
  <si>
    <t>Trust bank account</t>
  </si>
  <si>
    <t>Investment Account</t>
  </si>
</sst>
</file>

<file path=xl/styles.xml><?xml version="1.0" encoding="utf-8"?>
<styleSheet xmlns="http://schemas.openxmlformats.org/spreadsheetml/2006/main">
  <numFmts count="1">
    <numFmt numFmtId="164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64" fontId="1" fillId="0" borderId="2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tabSelected="1" workbookViewId="0"/>
  </sheetViews>
  <sheetFormatPr defaultRowHeight="40" customHeight="1"/>
  <cols>
    <col min="1" max="1" width="36.7109375" customWidth="1"/>
    <col min="2" max="2" width="40.7109375" customWidth="1"/>
    <col min="3" max="3" width="16.7109375" customWidth="1"/>
    <col min="4" max="4" width="21.7109375" customWidth="1"/>
    <col min="5" max="6" width="36.7109375" customWidth="1"/>
    <col min="7" max="9" width="9.140625"/>
  </cols>
  <sheetData>
    <row r="1" spans="1:6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" customHeight="1">
      <c r="A2" s="2" t="s">
        <v>6</v>
      </c>
      <c r="B2" s="2" t="s">
        <v>7</v>
      </c>
      <c r="C2" s="2" t="s">
        <v>8</v>
      </c>
      <c r="D2" s="2" t="s">
        <v>9</v>
      </c>
      <c r="E2" s="3">
        <v>-1287</v>
      </c>
      <c r="F2" s="3">
        <v>0</v>
      </c>
    </row>
    <row r="3" spans="1:6" ht="40" customHeight="1">
      <c r="A3" s="2" t="s">
        <v>10</v>
      </c>
      <c r="B3" s="2" t="s">
        <v>11</v>
      </c>
      <c r="C3" s="2" t="s">
        <v>12</v>
      </c>
      <c r="D3" s="2" t="s">
        <v>9</v>
      </c>
      <c r="E3" s="3">
        <v>-10131</v>
      </c>
      <c r="F3" s="3">
        <v>0</v>
      </c>
    </row>
    <row r="4" spans="1:6" ht="40" customHeight="1">
      <c r="A4" s="2" t="s">
        <v>13</v>
      </c>
      <c r="B4" s="2" t="s">
        <v>14</v>
      </c>
      <c r="C4" s="2" t="s">
        <v>15</v>
      </c>
      <c r="D4" s="2" t="s">
        <v>9</v>
      </c>
      <c r="E4" s="3">
        <v>-15000</v>
      </c>
      <c r="F4" s="3">
        <v>0</v>
      </c>
    </row>
    <row r="5" spans="1:6" ht="40" customHeight="1">
      <c r="A5" s="2" t="s">
        <v>16</v>
      </c>
      <c r="B5" s="2" t="s">
        <v>17</v>
      </c>
      <c r="C5" s="2" t="s">
        <v>18</v>
      </c>
      <c r="D5" s="2" t="s">
        <v>9</v>
      </c>
      <c r="E5" s="3">
        <v>-3900</v>
      </c>
      <c r="F5" s="3">
        <v>0</v>
      </c>
    </row>
    <row r="6" spans="1:6" ht="40" customHeight="1">
      <c r="A6" s="2" t="s">
        <v>19</v>
      </c>
      <c r="B6" s="2" t="s">
        <v>20</v>
      </c>
      <c r="C6" s="2" t="s">
        <v>21</v>
      </c>
      <c r="D6" s="2" t="s">
        <v>9</v>
      </c>
      <c r="E6" s="3">
        <v>-3314</v>
      </c>
      <c r="F6" s="3">
        <v>0</v>
      </c>
    </row>
    <row r="7" spans="1:6" ht="40" customHeight="1">
      <c r="A7" s="2" t="s">
        <v>22</v>
      </c>
      <c r="B7" s="2" t="s">
        <v>23</v>
      </c>
      <c r="C7" s="2" t="s">
        <v>24</v>
      </c>
      <c r="D7" s="2" t="s">
        <v>9</v>
      </c>
      <c r="E7" s="3">
        <v>-810</v>
      </c>
      <c r="F7" s="3">
        <v>0</v>
      </c>
    </row>
    <row r="8" spans="1:6" ht="40" customHeight="1">
      <c r="A8" s="2" t="s">
        <v>25</v>
      </c>
      <c r="B8" s="2" t="s">
        <v>26</v>
      </c>
      <c r="C8" s="2" t="s">
        <v>27</v>
      </c>
      <c r="D8" s="2" t="s">
        <v>9</v>
      </c>
      <c r="E8" s="3">
        <v>-69.2</v>
      </c>
      <c r="F8" s="3">
        <v>0</v>
      </c>
    </row>
    <row r="9" spans="1:6" ht="40" customHeight="1">
      <c r="A9" s="2" t="s">
        <v>28</v>
      </c>
      <c r="B9" s="2" t="s">
        <v>29</v>
      </c>
      <c r="C9" s="2" t="s">
        <v>30</v>
      </c>
      <c r="D9" s="2" t="s">
        <v>9</v>
      </c>
      <c r="E9" s="3">
        <v>-258.02</v>
      </c>
      <c r="F9" s="3">
        <v>0</v>
      </c>
    </row>
    <row r="10" spans="1:6" ht="40" customHeight="1">
      <c r="A10" s="2" t="s">
        <v>31</v>
      </c>
      <c r="B10" s="2" t="s">
        <v>32</v>
      </c>
      <c r="C10" s="2" t="s">
        <v>33</v>
      </c>
      <c r="D10" s="2" t="s">
        <v>9</v>
      </c>
      <c r="E10" s="3">
        <v>-5000</v>
      </c>
      <c r="F10" s="3">
        <v>0</v>
      </c>
    </row>
    <row r="11" spans="1:6" ht="40" customHeight="1">
      <c r="A11" s="2" t="s">
        <v>34</v>
      </c>
      <c r="B11" s="2" t="s">
        <v>35</v>
      </c>
      <c r="C11" s="2" t="s">
        <v>36</v>
      </c>
      <c r="D11" s="2" t="s">
        <v>9</v>
      </c>
      <c r="E11" s="3">
        <v>-24.42</v>
      </c>
      <c r="F11" s="3">
        <v>0</v>
      </c>
    </row>
    <row r="12" spans="1:6" ht="40" customHeight="1">
      <c r="A12" s="2" t="s">
        <v>37</v>
      </c>
      <c r="B12" s="2" t="s">
        <v>38</v>
      </c>
      <c r="C12" s="2" t="s">
        <v>39</v>
      </c>
      <c r="D12" s="2" t="s">
        <v>9</v>
      </c>
      <c r="E12" s="3">
        <v>-140</v>
      </c>
      <c r="F12" s="3">
        <v>0</v>
      </c>
    </row>
    <row r="13" spans="1:6" ht="40" customHeight="1">
      <c r="A13" s="2" t="s">
        <v>40</v>
      </c>
      <c r="B13" s="2" t="s">
        <v>41</v>
      </c>
      <c r="C13" s="2" t="s">
        <v>42</v>
      </c>
      <c r="D13" s="2" t="s">
        <v>9</v>
      </c>
      <c r="E13" s="3">
        <v>-2615</v>
      </c>
      <c r="F13" s="3">
        <v>0</v>
      </c>
    </row>
    <row r="14" spans="1:6" ht="40" customHeight="1">
      <c r="A14" s="2" t="s">
        <v>43</v>
      </c>
      <c r="B14" s="2" t="s">
        <v>44</v>
      </c>
      <c r="C14" s="2" t="s">
        <v>45</v>
      </c>
      <c r="D14" s="2" t="s">
        <v>9</v>
      </c>
      <c r="E14" s="3">
        <v>-7440</v>
      </c>
      <c r="F14" s="3">
        <v>0</v>
      </c>
    </row>
    <row r="15" spans="1:6" ht="40" customHeight="1">
      <c r="A15" s="2" t="s">
        <v>46</v>
      </c>
      <c r="B15" s="2" t="s">
        <v>47</v>
      </c>
      <c r="C15" s="2" t="s">
        <v>48</v>
      </c>
      <c r="D15" s="2" t="s">
        <v>9</v>
      </c>
      <c r="E15" s="3">
        <v>-4130</v>
      </c>
      <c r="F15" s="3">
        <v>0</v>
      </c>
    </row>
    <row r="16" spans="1:6" ht="40" customHeight="1">
      <c r="A16" s="2" t="s">
        <v>37</v>
      </c>
      <c r="B16" s="2" t="s">
        <v>49</v>
      </c>
      <c r="C16" s="2" t="s">
        <v>50</v>
      </c>
      <c r="D16" s="2" t="s">
        <v>9</v>
      </c>
      <c r="E16" s="3">
        <v>-25000</v>
      </c>
      <c r="F16" s="3">
        <v>0</v>
      </c>
    </row>
    <row r="17" spans="1:6" ht="40" customHeight="1">
      <c r="A17" s="2" t="s">
        <v>46</v>
      </c>
      <c r="B17" s="2" t="s">
        <v>51</v>
      </c>
      <c r="C17" s="2" t="s">
        <v>52</v>
      </c>
      <c r="D17" s="2" t="s">
        <v>9</v>
      </c>
      <c r="E17" s="3">
        <v>-15040</v>
      </c>
      <c r="F17" s="3">
        <v>0</v>
      </c>
    </row>
    <row r="18" spans="1:6" ht="40" customHeight="1">
      <c r="A18" s="2" t="s">
        <v>53</v>
      </c>
      <c r="B18" s="2" t="s">
        <v>54</v>
      </c>
      <c r="C18" s="2" t="s">
        <v>55</v>
      </c>
      <c r="D18" s="2" t="s">
        <v>9</v>
      </c>
      <c r="E18" s="3">
        <v>-25.19</v>
      </c>
      <c r="F18" s="3">
        <v>0</v>
      </c>
    </row>
    <row r="19" spans="1:6" ht="40" customHeight="1">
      <c r="A19" s="2" t="s">
        <v>56</v>
      </c>
      <c r="B19" s="2" t="s">
        <v>57</v>
      </c>
      <c r="C19" s="2" t="s">
        <v>58</v>
      </c>
      <c r="D19" s="2" t="s">
        <v>59</v>
      </c>
      <c r="E19" s="3">
        <v>-5000</v>
      </c>
      <c r="F19" s="3">
        <v>0</v>
      </c>
    </row>
    <row r="20" spans="1:6" ht="40" customHeight="1">
      <c r="A20" s="2" t="s">
        <v>60</v>
      </c>
      <c r="B20" s="2" t="s">
        <v>61</v>
      </c>
      <c r="C20" s="2" t="s">
        <v>62</v>
      </c>
      <c r="D20" s="2" t="s">
        <v>59</v>
      </c>
      <c r="E20" s="3">
        <v>-2300</v>
      </c>
      <c r="F20" s="3">
        <v>0</v>
      </c>
    </row>
    <row r="21" spans="1:6" ht="40" customHeight="1">
      <c r="A21" s="2" t="s">
        <v>63</v>
      </c>
      <c r="B21" s="2" t="s">
        <v>64</v>
      </c>
      <c r="C21" s="2" t="s">
        <v>65</v>
      </c>
      <c r="D21" s="2" t="s">
        <v>59</v>
      </c>
      <c r="E21" s="3">
        <v>-3000</v>
      </c>
      <c r="F21" s="3">
        <v>0</v>
      </c>
    </row>
    <row r="22" spans="1:6" ht="40" customHeight="1">
      <c r="A22" s="2" t="s">
        <v>66</v>
      </c>
      <c r="B22" s="2" t="s">
        <v>67</v>
      </c>
      <c r="C22" s="2" t="s">
        <v>68</v>
      </c>
      <c r="D22" s="2" t="s">
        <v>59</v>
      </c>
      <c r="E22" s="3">
        <v>-7300</v>
      </c>
      <c r="F22" s="3">
        <v>0</v>
      </c>
    </row>
    <row r="23" spans="1:6" ht="40" customHeight="1">
      <c r="A23" s="2" t="s">
        <v>69</v>
      </c>
      <c r="B23" s="2" t="s">
        <v>70</v>
      </c>
      <c r="C23" s="2" t="s">
        <v>71</v>
      </c>
      <c r="D23" s="2" t="s">
        <v>59</v>
      </c>
      <c r="E23" s="3">
        <v>-8100</v>
      </c>
      <c r="F23" s="3">
        <v>0</v>
      </c>
    </row>
    <row r="24" spans="1:6" ht="40" customHeight="1">
      <c r="A24" s="2" t="s">
        <v>72</v>
      </c>
      <c r="B24" s="2" t="s">
        <v>73</v>
      </c>
      <c r="C24" s="2" t="s">
        <v>74</v>
      </c>
      <c r="D24" s="2" t="s">
        <v>59</v>
      </c>
      <c r="E24" s="3">
        <v>-200000</v>
      </c>
      <c r="F24" s="3">
        <v>0</v>
      </c>
    </row>
    <row r="25" spans="1:6" ht="40" customHeight="1">
      <c r="A25" s="2" t="s">
        <v>75</v>
      </c>
      <c r="B25" s="2" t="s">
        <v>76</v>
      </c>
      <c r="C25" s="2" t="s">
        <v>77</v>
      </c>
      <c r="D25" s="2" t="s">
        <v>59</v>
      </c>
      <c r="E25" s="3">
        <v>-879.26</v>
      </c>
      <c r="F25" s="3">
        <v>0</v>
      </c>
    </row>
    <row r="26" spans="1:6" ht="40" customHeight="1">
      <c r="A26" s="2" t="s">
        <v>78</v>
      </c>
      <c r="B26" s="2" t="s">
        <v>79</v>
      </c>
      <c r="C26" s="2" t="s">
        <v>80</v>
      </c>
      <c r="D26" s="2" t="s">
        <v>59</v>
      </c>
      <c r="E26" s="3">
        <v>-8700</v>
      </c>
      <c r="F26" s="3">
        <v>0</v>
      </c>
    </row>
    <row r="27" spans="1:6" ht="40" customHeight="1">
      <c r="A27" s="2" t="s">
        <v>81</v>
      </c>
      <c r="B27" s="2" t="s">
        <v>82</v>
      </c>
      <c r="C27" s="2" t="s">
        <v>83</v>
      </c>
      <c r="D27" s="2" t="s">
        <v>59</v>
      </c>
      <c r="E27" s="3">
        <v>-2300</v>
      </c>
      <c r="F27" s="3">
        <v>0</v>
      </c>
    </row>
    <row r="28" spans="1:6" ht="40" customHeight="1">
      <c r="A28" s="2" t="s">
        <v>84</v>
      </c>
      <c r="B28" s="2" t="s">
        <v>85</v>
      </c>
      <c r="C28" s="2" t="s">
        <v>86</v>
      </c>
      <c r="D28" s="2" t="s">
        <v>59</v>
      </c>
      <c r="E28" s="3">
        <v>-8275</v>
      </c>
      <c r="F28" s="3">
        <v>0</v>
      </c>
    </row>
    <row r="29" spans="1:6" ht="40" customHeight="1">
      <c r="A29" s="2" t="s">
        <v>87</v>
      </c>
      <c r="B29" s="2" t="s">
        <v>88</v>
      </c>
      <c r="C29" s="2" t="s">
        <v>89</v>
      </c>
      <c r="D29" s="2" t="s">
        <v>59</v>
      </c>
      <c r="E29" s="3">
        <v>-2300</v>
      </c>
      <c r="F29" s="3">
        <v>0</v>
      </c>
    </row>
    <row r="30" spans="1:6" ht="40" customHeight="1">
      <c r="A30" s="2" t="s">
        <v>90</v>
      </c>
      <c r="B30" s="2" t="s">
        <v>91</v>
      </c>
      <c r="C30" s="2" t="s">
        <v>92</v>
      </c>
      <c r="D30" s="2" t="s">
        <v>59</v>
      </c>
      <c r="E30" s="3">
        <v>-10350</v>
      </c>
      <c r="F30" s="3">
        <v>0</v>
      </c>
    </row>
    <row r="31" spans="1:6" ht="40" customHeight="1">
      <c r="A31" s="2" t="s">
        <v>93</v>
      </c>
      <c r="B31" s="2" t="s">
        <v>94</v>
      </c>
      <c r="C31" s="2" t="s">
        <v>95</v>
      </c>
      <c r="D31" s="2" t="s">
        <v>59</v>
      </c>
      <c r="E31" s="3">
        <v>-2300</v>
      </c>
      <c r="F31" s="3">
        <v>0</v>
      </c>
    </row>
    <row r="32" spans="1:6" ht="40" customHeight="1">
      <c r="A32" s="2" t="s">
        <v>96</v>
      </c>
      <c r="B32" s="2" t="s">
        <v>97</v>
      </c>
      <c r="C32" s="2" t="s">
        <v>98</v>
      </c>
      <c r="D32" s="2" t="s">
        <v>59</v>
      </c>
      <c r="E32" s="3">
        <v>-2137.52</v>
      </c>
      <c r="F32" s="3">
        <v>0</v>
      </c>
    </row>
    <row r="33" spans="1:6" ht="40" customHeight="1">
      <c r="A33" s="2" t="s">
        <v>99</v>
      </c>
      <c r="B33" s="2" t="s">
        <v>100</v>
      </c>
      <c r="C33" s="2" t="s">
        <v>101</v>
      </c>
      <c r="D33" s="2" t="s">
        <v>59</v>
      </c>
      <c r="E33" s="3">
        <v>-500</v>
      </c>
      <c r="F33" s="3">
        <v>0</v>
      </c>
    </row>
    <row r="34" spans="1:6" ht="40" customHeight="1">
      <c r="A34" s="2" t="s">
        <v>102</v>
      </c>
      <c r="B34" s="2" t="s">
        <v>103</v>
      </c>
      <c r="C34" s="2" t="s">
        <v>104</v>
      </c>
      <c r="D34" s="2"/>
      <c r="E34" s="3">
        <v>-104858.8</v>
      </c>
      <c r="F34" s="3">
        <v>0</v>
      </c>
    </row>
    <row r="35" spans="1:6" ht="40" customHeight="1">
      <c r="A35" s="2" t="s">
        <v>105</v>
      </c>
      <c r="B35" s="2" t="s">
        <v>106</v>
      </c>
      <c r="C35" s="2" t="s">
        <v>107</v>
      </c>
      <c r="D35" s="2" t="s">
        <v>9</v>
      </c>
      <c r="E35" s="3">
        <v>-4234.77</v>
      </c>
      <c r="F35" s="3">
        <v>0</v>
      </c>
    </row>
    <row r="36" spans="1:6" ht="40" customHeight="1">
      <c r="A36" s="2" t="s">
        <v>108</v>
      </c>
      <c r="B36" s="2" t="s">
        <v>109</v>
      </c>
      <c r="C36" s="2" t="s">
        <v>110</v>
      </c>
      <c r="D36" s="2" t="s">
        <v>9</v>
      </c>
      <c r="E36" s="3">
        <v>-2930.49</v>
      </c>
      <c r="F36" s="3">
        <v>0</v>
      </c>
    </row>
    <row r="37" spans="1:6" ht="40" customHeight="1">
      <c r="A37" s="2" t="s">
        <v>111</v>
      </c>
      <c r="B37" s="2" t="s">
        <v>112</v>
      </c>
      <c r="C37" s="2" t="s">
        <v>113</v>
      </c>
      <c r="D37" s="2" t="s">
        <v>9</v>
      </c>
      <c r="E37" s="3">
        <v>-4410</v>
      </c>
      <c r="F37" s="3">
        <v>0</v>
      </c>
    </row>
    <row r="38" spans="1:6" ht="40" customHeight="1">
      <c r="A38" s="2" t="s">
        <v>34</v>
      </c>
      <c r="B38" s="2" t="s">
        <v>114</v>
      </c>
      <c r="C38" s="2" t="s">
        <v>115</v>
      </c>
      <c r="D38" s="2" t="s">
        <v>9</v>
      </c>
      <c r="E38" s="3">
        <v>-145</v>
      </c>
      <c r="F38" s="3">
        <v>0</v>
      </c>
    </row>
    <row r="40" spans="1:6" ht="40" customHeight="1">
      <c r="E40" s="4">
        <f>SUM(E2:E38)</f>
        <v>-474204.67</v>
      </c>
      <c r="F40" s="4">
        <f>SUM(F2:F38)</f>
        <v>0</v>
      </c>
    </row>
  </sheetData>
  <pageMargins left="0.7" right="0.7" top="0.75" bottom="0.75" header="0.3" footer="0.3"/>
  <pageSetup paperSize="9" fitToHeight="0" orientation="landscape"/>
  <headerFooter>
    <oddHeader>&amp;CMatters&amp;RDOLATA &amp; CO.</oddHeader>
    <oddFooter>&amp;LGenerated by Jessica-Jayde Dolata on 2026-04-19 18:22:58&amp;CLawPracticeZA.com&amp;RPage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4"/>
  <sheetViews>
    <sheetView workbookViewId="0"/>
  </sheetViews>
  <sheetFormatPr defaultRowHeight="15"/>
  <cols>
    <col min="1" max="1" width="19.7109375" customWidth="1"/>
    <col min="2" max="2" width="36.7109375" customWidth="1"/>
    <col min="3" max="9" width="9.140625"/>
  </cols>
  <sheetData>
    <row r="1" spans="1:2">
      <c r="A1" s="1" t="s">
        <v>116</v>
      </c>
      <c r="B1" s="1" t="s">
        <v>4</v>
      </c>
    </row>
    <row r="2" spans="1:2">
      <c r="A2" s="5" t="s">
        <v>117</v>
      </c>
      <c r="B2" s="3">
        <v>474204.67</v>
      </c>
    </row>
    <row r="4" spans="1:2">
      <c r="B4" s="4">
        <f>SUM(B2:B2)</f>
        <v>474204.67</v>
      </c>
    </row>
  </sheetData>
  <pageMargins left="0.7" right="0.7" top="0.75" bottom="0.75" header="0.3" footer="0.3"/>
  <pageSetup paperSize="9" fitToHeight="0" orientation="landscape"/>
  <headerFooter>
    <oddHeader>&amp;CTrust Banks&amp;RDOLATA &amp; CO.</oddHeader>
    <oddFooter>&amp;LGenerated by Jessica-Jayde Dolata on 2026-04-19 18:22:58&amp;CLawPracticeZA.com&amp;RPage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workbookViewId="0"/>
  </sheetViews>
  <sheetFormatPr defaultRowHeight="15"/>
  <cols>
    <col min="1" max="1" width="11.7109375" customWidth="1"/>
    <col min="2" max="9" width="9.140625"/>
  </cols>
  <sheetData>
    <row r="1" spans="1:1">
      <c r="A1" s="1" t="s">
        <v>118</v>
      </c>
    </row>
  </sheetData>
  <pageMargins left="0.7" right="0.7" top="0.75" bottom="0.75" header="0.3" footer="0.3"/>
  <pageSetup paperSize="9" fitToHeight="0" orientation="landscape"/>
  <headerFooter>
    <oddHeader>&amp;CInvestment Banks&amp;RDOLATA &amp; CO.</oddHeader>
    <oddFooter>&amp;LGenerated by Jessica-Jayde Dolata on 2026-04-19 18:22:58&amp;CLawPracticeZA.com&amp;RPage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Matters</vt:lpstr>
      <vt:lpstr>Trust Banks</vt:lpstr>
      <vt:lpstr>Investment Banks</vt:lpstr>
      <vt:lpstr>'Investment Banks'!Print_Titles</vt:lpstr>
      <vt:lpstr>Matters!Print_Titles</vt:lpstr>
      <vt:lpstr>'Trust Banks'!Print_Titles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2026-04-19T16:22:58Z</dcterms:created>
  <dcterms:modified xsi:type="dcterms:W3CDTF">2026-04-19T16:22:58Z</dcterms:modified>
</cp:coreProperties>
</file>